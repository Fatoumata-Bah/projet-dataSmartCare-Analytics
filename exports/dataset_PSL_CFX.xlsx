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README" sheetId="1" state="visible" r:id="rId3"/>
    <sheet name="Dataset_Annuel" sheetId="2" state="visible" r:id="rId4"/>
    <sheet name="Detail_Urgences" sheetId="3" state="visible" r:id="rId5"/>
    <sheet name="Detail_Pathologies" sheetId="4" state="visible" r:id="rId6"/>
    <sheet name="Detail_RH_Finances" sheetId="5" state="visible" r:id="rId7"/>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<sst xmlns="http://schemas.openxmlformats.org/spreadsheetml/2006/main" count="109" uniqueCount="92">
  <si>
    <t xml:space="preserve">Projet Data - PSL-CFX</t>
  </si>
  <si>
    <t xml:space="preserve">Dataset construit à partir des 3 rapports chiffres-clés fournis (2012, 2015, 2016)</t>
  </si>
  <si>
    <t xml:space="preserve">Contenu du classeur</t>
  </si>
  <si>
    <t xml:space="preserve">Dataset_Annuel</t>
  </si>
  <si>
    <t xml:space="preserve">Vue consolidée des indicateurs clés, une colonne par année disponible (2012 / 2015 / 2016).</t>
  </si>
  <si>
    <t xml:space="preserve">Detail_Urgences</t>
  </si>
  <si>
    <t xml:space="preserve">Détail des passages aux urgences (total, SAU, dentaire, patients admis) par année et par site.</t>
  </si>
  <si>
    <t xml:space="preserve">Detail_Pathologies</t>
  </si>
  <si>
    <t xml:space="preserve">Nombre de séjours par grande cause d'hospitalisation, par année (2012 et 2015 uniquement).</t>
  </si>
  <si>
    <t xml:space="preserve">Detail_RH_Finances</t>
  </si>
  <si>
    <t xml:space="preserve">Effectifs médicaux/paramédicaux et données budgétaires (dépenses, recettes) par année.</t>
  </si>
  <si>
    <t xml:space="preserve">⚠ Limite méthodologique importante</t>
  </si>
  <si>
    <t xml:space="preserve">Granularité</t>
  </si>
  <si>
    <t xml:space="preserve">Les 3 rapports sources ne donnent que des CHIFFRES ANNUELS AGRÉGÉS. Il n'y a aucune décomposition mensuelle ou trimestrielle dans les PDF fournis.</t>
  </si>
  <si>
    <t xml:space="preserve">Conséquence</t>
  </si>
  <si>
    <t xml:space="preserve">Un modèle SARIMA a besoin d'une série temporelle à fréquence régulière (idéalement mensuelle, sur plusieurs années) pour détecter une saisonnalité. Avec seulement 3 points annuels (2012, 2015, 2016, et années manquantes 2013/2014), on ne peut PAS entraîner un vrai SARIMA directement sur ce dataset.</t>
  </si>
  <si>
    <t xml:space="preserve">Pistes à discuter</t>
  </si>
  <si>
    <t xml:space="preserve">1) Chercher des séries mensuelles publiques (SAE / ATIH / data.gouv.fr / Open Data AP-HP) qui complètent ces rapports annuels. 2) Simuler une saisonnalité mensuelle plausible (ex: hiver = pic urgences/grippe) calée sur le total annuel connu, en la justifiant explicitement dans le rapport technique comme une hypothèse. 3) Recentrer le modèle prédictif sur les séries qui ONT plusieurs années comparables (ex: passages urgences 2011 vs 2012, ou 2011 vs 2012 vs 2015 vs 2016) pour au moins montrer une tendance interannuelle, à défaut d'une saisonnalité infra-annuelle.</t>
  </si>
  <si>
    <t xml:space="preserve">Sources</t>
  </si>
  <si>
    <t xml:space="preserve">2012</t>
  </si>
  <si>
    <t xml:space="preserve">SLP-CHF2012.pdf — Hôpitaux Universitaires Pitié-Salpêtrière - Charles Foix, Les Chiffres Clés 2012</t>
  </si>
  <si>
    <t xml:space="preserve">2015</t>
  </si>
  <si>
    <t xml:space="preserve">SLP-CHX2015.pdf — Hôpitaux Universitaires Pitié Salpêtrière Charles Foix, Les Chiffres Clés 2015</t>
  </si>
  <si>
    <t xml:space="preserve">2016</t>
  </si>
  <si>
    <t xml:space="preserve">SLP-CHF2016.pdf — Hôpitaux universitaires Pitié-Salpêtrière Charles-Foix, repères et chiffres clés 2016</t>
  </si>
  <si>
    <t xml:space="preserve">Indicateurs annuels consolidés</t>
  </si>
  <si>
    <t xml:space="preserve">Indicateur</t>
  </si>
  <si>
    <t xml:space="preserve">Notes / source</t>
  </si>
  <si>
    <t xml:space="preserve">Nombre de lits (installés)</t>
  </si>
  <si>
    <t xml:space="preserve">2016 = lits installés (repères 2016); les autres = capacité en lits</t>
  </si>
  <si>
    <t xml:space="preserve">Nombre de pôles</t>
  </si>
  <si>
    <t xml:space="preserve">Nombre de services</t>
  </si>
  <si>
    <t xml:space="preserve">Non détaillé en 2012/2015</t>
  </si>
  <si>
    <t xml:space="preserve">Centres maladies rares</t>
  </si>
  <si>
    <t xml:space="preserve">Le chiffre 2016 (25) correspond aux centres de référence maladies rares, périmètre possiblement différent</t>
  </si>
  <si>
    <t xml:space="preserve">Nombre total d'hospitalisations / séjours MCO</t>
  </si>
  <si>
    <t xml:space="preserve">2012 = hospitalisations totales (tous modes); 2015/2016 = séjours MCO uniquement -&gt; comparer avec prudence</t>
  </si>
  <si>
    <t xml:space="preserve">Séjours en hospitalisation complète (&gt;24h)</t>
  </si>
  <si>
    <t xml:space="preserve">Séjours en ambulatoire (&lt;24h)</t>
  </si>
  <si>
    <t xml:space="preserve">Consultations externes</t>
  </si>
  <si>
    <t xml:space="preserve">Passages aux urgences (total groupe)</t>
  </si>
  <si>
    <t xml:space="preserve">2015 inclut urgences dentaires (62649); 2012 = PSL seule; voir détail feuille Detail_Urgences</t>
  </si>
  <si>
    <t xml:space="preserve">Naissances / Accouchements</t>
  </si>
  <si>
    <t xml:space="preserve">Greffes / Transplantations</t>
  </si>
  <si>
    <t xml:space="preserve">Actes opératoires</t>
  </si>
  <si>
    <t xml:space="preserve">Effectif médecins (ETP)</t>
  </si>
  <si>
    <t xml:space="preserve">2016 ETP médecins seniors uniquement (hors internes/étudiants) -&gt; rupture de définition, voir feuille RH</t>
  </si>
  <si>
    <t xml:space="preserve">Effectif paramédical (ETP)</t>
  </si>
  <si>
    <t xml:space="preserve">2016 = personnel soignant (hospitalier + médico-technique + socio-éducatif), périmètre à vérifier vs 2012/2015</t>
  </si>
  <si>
    <t xml:space="preserve">Dépenses d'exploitation (M€)</t>
  </si>
  <si>
    <t xml:space="preserve">Recettes (M€)</t>
  </si>
  <si>
    <t xml:space="preserve">Non communiqué séparément en 2016 (budget global 887,3 M€ mentionné)</t>
  </si>
  <si>
    <t xml:space="preserve">Détail des urgences</t>
  </si>
  <si>
    <t xml:space="preserve">2011</t>
  </si>
  <si>
    <t xml:space="preserve">Notes</t>
  </si>
  <si>
    <t xml:space="preserve">Passages urgences - PSL (site)</t>
  </si>
  <si>
    <t xml:space="preserve">Détail par site uniquement disponible en 2012</t>
  </si>
  <si>
    <t xml:space="preserve">Patients admis en hospitalisation via urgences - PSL</t>
  </si>
  <si>
    <t xml:space="preserve">Lits UHCD - PSL</t>
  </si>
  <si>
    <t xml:space="preserve">Unité d'Hospitalisation de Courte Durée</t>
  </si>
  <si>
    <t xml:space="preserve">Passages urgences - Groupe hospitalier (total)</t>
  </si>
  <si>
    <t xml:space="preserve">2015/2016 = PSL+CFX cumulés</t>
  </si>
  <si>
    <t xml:space="preserve">  dont Service d'Accueil des Urgences (SAU)</t>
  </si>
  <si>
    <t xml:space="preserve">  dont urgences dentaires</t>
  </si>
  <si>
    <t xml:space="preserve">  dont urgences spécialisées</t>
  </si>
  <si>
    <t xml:space="preserve">Patients admis en hospitalisation - Groupe (2015)</t>
  </si>
  <si>
    <t xml:space="preserve">Principales causes d'hospitalisation (en nombre de séjours)</t>
  </si>
  <si>
    <t xml:space="preserve">Pathologie</t>
  </si>
  <si>
    <t xml:space="preserve">Évolution 2012→2015</t>
  </si>
  <si>
    <t xml:space="preserve">Pathologies cancéreuses</t>
  </si>
  <si>
    <t xml:space="preserve">Pathologies neurologiques</t>
  </si>
  <si>
    <t xml:space="preserve">Pathologies cardio-vasculaires</t>
  </si>
  <si>
    <t xml:space="preserve">Pathologies endocriniennes / métaboliques / nutrition</t>
  </si>
  <si>
    <t xml:space="preserve">Pathologies de l'appareil génito-urinaire</t>
  </si>
  <si>
    <t xml:space="preserve">Pathologies orthopédiques et traumatologiques</t>
  </si>
  <si>
    <t xml:space="preserve">Pathologies de l'appareil digestif</t>
  </si>
  <si>
    <t xml:space="preserve">Obstétrique</t>
  </si>
  <si>
    <t xml:space="preserve">Pathologies infectieuses</t>
  </si>
  <si>
    <t xml:space="preserve">Ressources humaines et finances</t>
  </si>
  <si>
    <t xml:space="preserve">Personnel médical - effectif physique</t>
  </si>
  <si>
    <t xml:space="preserve">2016 = médecins seniors (1626) + internes (465) + étudiants hospitaliers (687)</t>
  </si>
  <si>
    <t xml:space="preserve">Personnel médical - ETP</t>
  </si>
  <si>
    <t xml:space="preserve">2016 = ETP médecins seniors uniquement</t>
  </si>
  <si>
    <t xml:space="preserve">Personnel paramédical - ETP</t>
  </si>
  <si>
    <t xml:space="preserve">  dont infirmier(e)s (2016)</t>
  </si>
  <si>
    <t xml:space="preserve">Personnel administratif/technique - ETP</t>
  </si>
  <si>
    <t xml:space="preserve">Non isolé en 2012/2015 (inclus dans paramédical/administratif)</t>
  </si>
  <si>
    <t xml:space="preserve">2016 = budget global communiqué</t>
  </si>
  <si>
    <t xml:space="preserve">Solde (M€)</t>
  </si>
  <si>
    <t xml:space="preserve">2012: Recettes-Dépenses = 767-766 ≈ 1 M€ ; 2015: 898-876 ≈ 22 M€</t>
  </si>
  <si>
    <t xml:space="preserve">Investissements (M€)</t>
  </si>
  <si>
    <t xml:space="preserve">Non détaillé en 2012; 2015 crédits d'investissement détaillés par poste dans le PDF (total ≈ 37,7 M€ : travaux 24,59 + équip. 10,43 + informatique 2,72)</t>
  </si>
</sst>
</file>

<file path=xl/styles.xml><?xml version="1.0" encoding="utf-8"?>
<styleSheet xmlns="http://schemas.openxmlformats.org/spreadsheetml/2006/main">
  <numFmts count="4">
    <numFmt numFmtId="164" formatCode="General"/>
    <numFmt numFmtId="165" formatCode="#,##0"/>
    <numFmt numFmtId="166" formatCode="\+0.0%;\-0.0%"/>
    <numFmt numFmtId="167" formatCode="#,##0.0"/>
  </numFmts>
  <fonts count="10">
    <font>
      <sz val="11"/>
      <color theme="1"/>
      <name val="Calibri"/>
      <family val="2"/>
      <charset val="1"/>
    </font>
    <font>
      <sz val="10"/>
      <name val="Arial"/>
      <family val="0"/>
    </font>
    <font>
      <sz val="10"/>
      <name val="Arial"/>
      <family val="0"/>
    </font>
    <font>
      <sz val="10"/>
      <name val="Arial"/>
      <family val="0"/>
    </font>
    <font>
      <b val="true"/>
      <sz val="14"/>
      <color rgb="FF1F4E78"/>
      <name val="Arial"/>
      <family val="0"/>
      <charset val="1"/>
    </font>
    <font>
      <i val="true"/>
      <sz val="9"/>
      <color rgb="FF666666"/>
      <name val="Arial"/>
      <family val="0"/>
      <charset val="1"/>
    </font>
    <font>
      <b val="true"/>
      <sz val="10"/>
      <name val="Arial"/>
      <family val="0"/>
      <charset val="1"/>
    </font>
    <font>
      <sz val="10"/>
      <name val="Arial"/>
      <family val="0"/>
      <charset val="1"/>
    </font>
    <font>
      <b val="true"/>
      <sz val="11"/>
      <color rgb="FFFFFFFF"/>
      <name val="Arial"/>
      <family val="0"/>
      <charset val="1"/>
    </font>
    <font>
      <i val="true"/>
      <sz val="8"/>
      <color rgb="FF888888"/>
      <name val="Arial"/>
      <family val="0"/>
      <charset val="1"/>
    </font>
  </fonts>
  <fills count="3">
    <fill>
      <patternFill patternType="none"/>
    </fill>
    <fill>
      <patternFill patternType="gray125"/>
    </fill>
    <fill>
      <patternFill patternType="solid">
        <fgColor rgb="FF1F4E78"/>
        <bgColor rgb="FF003366"/>
      </patternFill>
    </fill>
  </fills>
  <borders count="2">
    <border diagonalUp="false" diagonalDown="false">
      <left/>
      <right/>
      <top/>
      <bottom/>
      <diagonal/>
    </border>
    <border diagonalUp="false" diagonalDown="false">
      <left/>
      <right/>
      <top/>
      <bottom style="thin">
        <color rgb="FFD9D9D9"/>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11">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xf numFmtId="164" fontId="7" fillId="0" borderId="0" xfId="0" applyFont="true" applyBorder="false" applyAlignment="true" applyProtection="false">
      <alignment horizontal="general" vertical="top" textRotation="0" wrapText="true" indent="0" shrinkToFit="false"/>
      <protection locked="true" hidden="false"/>
    </xf>
    <xf numFmtId="164" fontId="8" fillId="2" borderId="0" xfId="0" applyFont="true" applyBorder="false" applyAlignment="true" applyProtection="false">
      <alignment horizontal="center" vertical="center" textRotation="0" wrapText="true" indent="0" shrinkToFit="false"/>
      <protection locked="true" hidden="false"/>
    </xf>
    <xf numFmtId="164" fontId="7" fillId="0" borderId="1" xfId="0" applyFont="true" applyBorder="true" applyAlignment="false" applyProtection="false">
      <alignment horizontal="general" vertical="bottom" textRotation="0" wrapText="false" indent="0" shrinkToFit="false"/>
      <protection locked="true" hidden="false"/>
    </xf>
    <xf numFmtId="165" fontId="7" fillId="0" borderId="1" xfId="0" applyFont="true" applyBorder="true" applyAlignment="true" applyProtection="false">
      <alignment horizontal="center" vertical="bottom" textRotation="0" wrapText="false" indent="0" shrinkToFit="false"/>
      <protection locked="true" hidden="false"/>
    </xf>
    <xf numFmtId="164" fontId="9" fillId="0" borderId="1" xfId="0" applyFont="true" applyBorder="true" applyAlignment="true" applyProtection="false">
      <alignment horizontal="general" vertical="top" textRotation="0" wrapText="true" indent="0" shrinkToFit="false"/>
      <protection locked="true" hidden="false"/>
    </xf>
    <xf numFmtId="166" fontId="7" fillId="0" borderId="1" xfId="0" applyFont="true" applyBorder="true" applyAlignment="true" applyProtection="false">
      <alignment horizontal="center" vertical="bottom" textRotation="0" wrapText="false" indent="0" shrinkToFit="false"/>
      <protection locked="true" hidden="false"/>
    </xf>
    <xf numFmtId="167" fontId="7" fillId="0" borderId="1" xfId="0" applyFont="true" applyBorder="true" applyAlignment="true" applyProtection="false">
      <alignment horizontal="center"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88888"/>
      <rgbColor rgb="FF9999FF"/>
      <rgbColor rgb="FF993366"/>
      <rgbColor rgb="FFFFFFCC"/>
      <rgbColor rgb="FFCCFFFF"/>
      <rgbColor rgb="FF660066"/>
      <rgbColor rgb="FFFF8080"/>
      <rgbColor rgb="FF0066CC"/>
      <rgbColor rgb="FFD9D9D9"/>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66"/>
      <rgbColor rgb="FF969696"/>
      <rgbColor rgb="FF003366"/>
      <rgbColor rgb="FF339966"/>
      <rgbColor rgb="FF003300"/>
      <rgbColor rgb="FF333300"/>
      <rgbColor rgb="FF993300"/>
      <rgbColor rgb="FF993366"/>
      <rgbColor rgb="FF1F4E78"/>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18"/>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38"/>
    <col collapsed="false" customWidth="true" hidden="false" outlineLevel="0" max="2" min="2" style="0" width="90"/>
  </cols>
  <sheetData>
    <row r="1" customFormat="false" ht="21.75" hidden="false" customHeight="true" outlineLevel="0" collapsed="false">
      <c r="A1" s="1" t="s">
        <v>0</v>
      </c>
    </row>
    <row r="2" customFormat="false" ht="15" hidden="false" customHeight="false" outlineLevel="0" collapsed="false">
      <c r="A2" s="2" t="s">
        <v>1</v>
      </c>
    </row>
    <row r="4" customFormat="false" ht="15" hidden="false" customHeight="false" outlineLevel="0" collapsed="false">
      <c r="A4" s="3" t="s">
        <v>2</v>
      </c>
    </row>
    <row r="5" customFormat="false" ht="15" hidden="false" customHeight="false" outlineLevel="0" collapsed="false">
      <c r="A5" s="3" t="s">
        <v>3</v>
      </c>
      <c r="B5" s="4" t="s">
        <v>4</v>
      </c>
    </row>
    <row r="6" customFormat="false" ht="15" hidden="false" customHeight="false" outlineLevel="0" collapsed="false">
      <c r="A6" s="3" t="s">
        <v>5</v>
      </c>
      <c r="B6" s="4" t="s">
        <v>6</v>
      </c>
    </row>
    <row r="7" customFormat="false" ht="15" hidden="false" customHeight="false" outlineLevel="0" collapsed="false">
      <c r="A7" s="3" t="s">
        <v>7</v>
      </c>
      <c r="B7" s="4" t="s">
        <v>8</v>
      </c>
    </row>
    <row r="8" customFormat="false" ht="15" hidden="false" customHeight="false" outlineLevel="0" collapsed="false">
      <c r="A8" s="3" t="s">
        <v>9</v>
      </c>
      <c r="B8" s="4" t="s">
        <v>10</v>
      </c>
    </row>
    <row r="10" customFormat="false" ht="15" hidden="false" customHeight="false" outlineLevel="0" collapsed="false">
      <c r="A10" s="3" t="s">
        <v>11</v>
      </c>
    </row>
    <row r="11" customFormat="false" ht="23.85" hidden="false" customHeight="false" outlineLevel="0" collapsed="false">
      <c r="A11" s="3" t="s">
        <v>12</v>
      </c>
      <c r="B11" s="4" t="s">
        <v>13</v>
      </c>
    </row>
    <row r="12" customFormat="false" ht="35.05" hidden="false" customHeight="false" outlineLevel="0" collapsed="false">
      <c r="A12" s="3" t="s">
        <v>14</v>
      </c>
      <c r="B12" s="4" t="s">
        <v>15</v>
      </c>
    </row>
    <row r="13" customFormat="false" ht="68.65" hidden="false" customHeight="false" outlineLevel="0" collapsed="false">
      <c r="A13" s="3" t="s">
        <v>16</v>
      </c>
      <c r="B13" s="4" t="s">
        <v>17</v>
      </c>
    </row>
    <row r="15" customFormat="false" ht="15" hidden="false" customHeight="false" outlineLevel="0" collapsed="false">
      <c r="A15" s="3" t="s">
        <v>18</v>
      </c>
    </row>
    <row r="16" customFormat="false" ht="15" hidden="false" customHeight="false" outlineLevel="0" collapsed="false">
      <c r="A16" s="3" t="s">
        <v>19</v>
      </c>
      <c r="B16" s="4" t="s">
        <v>20</v>
      </c>
    </row>
    <row r="17" customFormat="false" ht="15" hidden="false" customHeight="false" outlineLevel="0" collapsed="false">
      <c r="A17" s="3" t="s">
        <v>21</v>
      </c>
      <c r="B17" s="4" t="s">
        <v>22</v>
      </c>
    </row>
    <row r="18" customFormat="false" ht="15" hidden="false" customHeight="false" outlineLevel="0" collapsed="false">
      <c r="A18" s="3" t="s">
        <v>23</v>
      </c>
      <c r="B18" s="4" t="s">
        <v>24</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1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3" topLeftCell="B4" activePane="bottomRight" state="frozen"/>
      <selection pane="topLeft" activeCell="A1" activeCellId="0" sqref="A1"/>
      <selection pane="topRight" activeCell="B1" activeCellId="0" sqref="B1"/>
      <selection pane="bottomLeft" activeCell="A4" activeCellId="0" sqref="A4"/>
      <selection pane="bottomRight" activeCell="A1" activeCellId="0" sqref="A1"/>
    </sheetView>
  </sheetViews>
  <sheetFormatPr defaultColWidth="8.6796875" defaultRowHeight="15" zeroHeight="false" outlineLevelRow="0" outlineLevelCol="0"/>
  <cols>
    <col collapsed="false" customWidth="true" hidden="false" outlineLevel="0" max="1" min="1" style="0" width="42"/>
    <col collapsed="false" customWidth="true" hidden="false" outlineLevel="0" max="4" min="2" style="0" width="14"/>
    <col collapsed="false" customWidth="true" hidden="false" outlineLevel="0" max="5" min="5" style="0" width="45"/>
  </cols>
  <sheetData>
    <row r="1" customFormat="false" ht="17.35" hidden="false" customHeight="false" outlineLevel="0" collapsed="false">
      <c r="A1" s="1" t="s">
        <v>25</v>
      </c>
    </row>
    <row r="3" customFormat="false" ht="15" hidden="false" customHeight="false" outlineLevel="0" collapsed="false">
      <c r="A3" s="5" t="s">
        <v>26</v>
      </c>
      <c r="B3" s="5" t="s">
        <v>19</v>
      </c>
      <c r="C3" s="5" t="s">
        <v>21</v>
      </c>
      <c r="D3" s="5" t="s">
        <v>23</v>
      </c>
      <c r="E3" s="5" t="s">
        <v>27</v>
      </c>
    </row>
    <row r="4" customFormat="false" ht="15" hidden="false" customHeight="false" outlineLevel="0" collapsed="false">
      <c r="A4" s="6" t="s">
        <v>28</v>
      </c>
      <c r="B4" s="7" t="n">
        <v>2132</v>
      </c>
      <c r="C4" s="7" t="n">
        <v>2216</v>
      </c>
      <c r="D4" s="7" t="n">
        <v>2229</v>
      </c>
      <c r="E4" s="8" t="s">
        <v>29</v>
      </c>
    </row>
    <row r="5" customFormat="false" ht="15" hidden="false" customHeight="false" outlineLevel="0" collapsed="false">
      <c r="A5" s="6" t="s">
        <v>30</v>
      </c>
      <c r="B5" s="7" t="n">
        <v>11</v>
      </c>
      <c r="C5" s="7" t="n">
        <v>11</v>
      </c>
      <c r="D5" s="7" t="n">
        <v>11</v>
      </c>
      <c r="E5" s="8"/>
    </row>
    <row r="6" customFormat="false" ht="15" hidden="false" customHeight="false" outlineLevel="0" collapsed="false">
      <c r="A6" s="6" t="s">
        <v>31</v>
      </c>
      <c r="B6" s="7"/>
      <c r="C6" s="7"/>
      <c r="D6" s="7" t="n">
        <v>73</v>
      </c>
      <c r="E6" s="8" t="s">
        <v>32</v>
      </c>
    </row>
    <row r="7" customFormat="false" ht="19.4" hidden="false" customHeight="false" outlineLevel="0" collapsed="false">
      <c r="A7" s="6" t="s">
        <v>33</v>
      </c>
      <c r="B7" s="7" t="n">
        <v>11</v>
      </c>
      <c r="C7" s="7" t="n">
        <v>10</v>
      </c>
      <c r="D7" s="7" t="n">
        <v>25</v>
      </c>
      <c r="E7" s="8" t="s">
        <v>34</v>
      </c>
    </row>
    <row r="8" customFormat="false" ht="19.4" hidden="false" customHeight="false" outlineLevel="0" collapsed="false">
      <c r="A8" s="6" t="s">
        <v>35</v>
      </c>
      <c r="B8" s="7" t="n">
        <v>155900</v>
      </c>
      <c r="C8" s="7" t="n">
        <v>168394</v>
      </c>
      <c r="D8" s="7" t="n">
        <v>175398</v>
      </c>
      <c r="E8" s="8" t="s">
        <v>36</v>
      </c>
    </row>
    <row r="9" customFormat="false" ht="15" hidden="false" customHeight="false" outlineLevel="0" collapsed="false">
      <c r="A9" s="6" t="s">
        <v>37</v>
      </c>
      <c r="B9" s="7" t="n">
        <v>68187</v>
      </c>
      <c r="C9" s="7" t="n">
        <v>73222</v>
      </c>
      <c r="D9" s="7" t="n">
        <v>75079</v>
      </c>
      <c r="E9" s="8"/>
    </row>
    <row r="10" customFormat="false" ht="15" hidden="false" customHeight="false" outlineLevel="0" collapsed="false">
      <c r="A10" s="6" t="s">
        <v>38</v>
      </c>
      <c r="B10" s="7" t="n">
        <v>87713</v>
      </c>
      <c r="C10" s="7" t="n">
        <v>95172</v>
      </c>
      <c r="D10" s="7" t="n">
        <v>100319</v>
      </c>
      <c r="E10" s="8"/>
    </row>
    <row r="11" customFormat="false" ht="15" hidden="false" customHeight="false" outlineLevel="0" collapsed="false">
      <c r="A11" s="6" t="s">
        <v>39</v>
      </c>
      <c r="B11" s="7" t="n">
        <v>660958</v>
      </c>
      <c r="C11" s="7" t="n">
        <v>607950</v>
      </c>
      <c r="D11" s="7" t="n">
        <v>644602</v>
      </c>
      <c r="E11" s="8"/>
    </row>
    <row r="12" customFormat="false" ht="19.4" hidden="false" customHeight="false" outlineLevel="0" collapsed="false">
      <c r="A12" s="6" t="s">
        <v>40</v>
      </c>
      <c r="B12" s="7" t="n">
        <v>85993</v>
      </c>
      <c r="C12" s="7" t="n">
        <v>121721</v>
      </c>
      <c r="D12" s="7" t="n">
        <v>127678</v>
      </c>
      <c r="E12" s="8" t="s">
        <v>41</v>
      </c>
    </row>
    <row r="13" customFormat="false" ht="15" hidden="false" customHeight="false" outlineLevel="0" collapsed="false">
      <c r="A13" s="6" t="s">
        <v>42</v>
      </c>
      <c r="B13" s="7" t="n">
        <v>2457</v>
      </c>
      <c r="C13" s="7" t="n">
        <v>2279</v>
      </c>
      <c r="D13" s="7" t="n">
        <v>2186</v>
      </c>
      <c r="E13" s="8"/>
    </row>
    <row r="14" customFormat="false" ht="15" hidden="false" customHeight="false" outlineLevel="0" collapsed="false">
      <c r="A14" s="6" t="s">
        <v>43</v>
      </c>
      <c r="B14" s="7" t="n">
        <v>314</v>
      </c>
      <c r="C14" s="7" t="n">
        <v>378</v>
      </c>
      <c r="D14" s="7" t="n">
        <v>394</v>
      </c>
      <c r="E14" s="8"/>
    </row>
    <row r="15" customFormat="false" ht="15" hidden="false" customHeight="false" outlineLevel="0" collapsed="false">
      <c r="A15" s="6" t="s">
        <v>44</v>
      </c>
      <c r="B15" s="7"/>
      <c r="C15" s="7"/>
      <c r="D15" s="7" t="n">
        <v>47925</v>
      </c>
      <c r="E15" s="8" t="s">
        <v>32</v>
      </c>
    </row>
    <row r="16" customFormat="false" ht="19.4" hidden="false" customHeight="false" outlineLevel="0" collapsed="false">
      <c r="A16" s="6" t="s">
        <v>45</v>
      </c>
      <c r="B16" s="7" t="n">
        <v>1253</v>
      </c>
      <c r="C16" s="7" t="n">
        <v>1621</v>
      </c>
      <c r="D16" s="7" t="n">
        <v>947</v>
      </c>
      <c r="E16" s="8" t="s">
        <v>46</v>
      </c>
    </row>
    <row r="17" customFormat="false" ht="19.4" hidden="false" customHeight="false" outlineLevel="0" collapsed="false">
      <c r="A17" s="6" t="s">
        <v>47</v>
      </c>
      <c r="B17" s="7" t="n">
        <v>7082</v>
      </c>
      <c r="C17" s="7" t="n">
        <v>7850</v>
      </c>
      <c r="D17" s="7" t="n">
        <v>6585</v>
      </c>
      <c r="E17" s="8" t="s">
        <v>48</v>
      </c>
    </row>
    <row r="18" customFormat="false" ht="15" hidden="false" customHeight="false" outlineLevel="0" collapsed="false">
      <c r="A18" s="6" t="s">
        <v>49</v>
      </c>
      <c r="B18" s="7" t="n">
        <v>766</v>
      </c>
      <c r="C18" s="7" t="n">
        <v>876</v>
      </c>
      <c r="D18" s="7" t="n">
        <v>887.3</v>
      </c>
      <c r="E18" s="8"/>
    </row>
    <row r="19" customFormat="false" ht="19.4" hidden="false" customHeight="false" outlineLevel="0" collapsed="false">
      <c r="A19" s="6" t="s">
        <v>50</v>
      </c>
      <c r="B19" s="7" t="n">
        <v>767</v>
      </c>
      <c r="C19" s="7" t="n">
        <v>898</v>
      </c>
      <c r="D19" s="7"/>
      <c r="E19" s="8" t="s">
        <v>51</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1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3" topLeftCell="B4" activePane="bottomRight" state="frozen"/>
      <selection pane="topLeft" activeCell="A1" activeCellId="0" sqref="A1"/>
      <selection pane="topRight" activeCell="B1" activeCellId="0" sqref="B1"/>
      <selection pane="bottomLeft" activeCell="A4" activeCellId="0" sqref="A4"/>
      <selection pane="bottomRight" activeCell="A1" activeCellId="0" sqref="A1"/>
    </sheetView>
  </sheetViews>
  <sheetFormatPr defaultColWidth="8.6796875" defaultRowHeight="15" zeroHeight="false" outlineLevelRow="0" outlineLevelCol="0"/>
  <cols>
    <col collapsed="false" customWidth="true" hidden="false" outlineLevel="0" max="1" min="1" style="0" width="34"/>
    <col collapsed="false" customWidth="true" hidden="false" outlineLevel="0" max="5" min="2" style="0" width="14"/>
    <col collapsed="false" customWidth="true" hidden="false" outlineLevel="0" max="6" min="6" style="0" width="45"/>
  </cols>
  <sheetData>
    <row r="1" customFormat="false" ht="17.35" hidden="false" customHeight="false" outlineLevel="0" collapsed="false">
      <c r="A1" s="1" t="s">
        <v>52</v>
      </c>
    </row>
    <row r="3" customFormat="false" ht="15" hidden="false" customHeight="false" outlineLevel="0" collapsed="false">
      <c r="A3" s="5" t="s">
        <v>26</v>
      </c>
      <c r="B3" s="5" t="s">
        <v>53</v>
      </c>
      <c r="C3" s="5" t="s">
        <v>19</v>
      </c>
      <c r="D3" s="5" t="s">
        <v>21</v>
      </c>
      <c r="E3" s="5" t="s">
        <v>23</v>
      </c>
      <c r="F3" s="5" t="s">
        <v>54</v>
      </c>
    </row>
    <row r="4" customFormat="false" ht="15" hidden="false" customHeight="false" outlineLevel="0" collapsed="false">
      <c r="A4" s="6" t="s">
        <v>55</v>
      </c>
      <c r="B4" s="7" t="n">
        <v>83002</v>
      </c>
      <c r="C4" s="7" t="n">
        <v>85993</v>
      </c>
      <c r="D4" s="7"/>
      <c r="E4" s="7"/>
      <c r="F4" s="8" t="s">
        <v>56</v>
      </c>
    </row>
    <row r="5" customFormat="false" ht="15" hidden="false" customHeight="false" outlineLevel="0" collapsed="false">
      <c r="A5" s="6" t="s">
        <v>57</v>
      </c>
      <c r="B5" s="7" t="n">
        <v>6083</v>
      </c>
      <c r="C5" s="7" t="n">
        <v>10063</v>
      </c>
      <c r="D5" s="7"/>
      <c r="E5" s="7"/>
      <c r="F5" s="8"/>
    </row>
    <row r="6" customFormat="false" ht="15" hidden="false" customHeight="false" outlineLevel="0" collapsed="false">
      <c r="A6" s="6" t="s">
        <v>58</v>
      </c>
      <c r="B6" s="7" t="n">
        <v>20</v>
      </c>
      <c r="C6" s="7" t="n">
        <v>20</v>
      </c>
      <c r="D6" s="7" t="n">
        <v>20</v>
      </c>
      <c r="E6" s="7"/>
      <c r="F6" s="8" t="s">
        <v>59</v>
      </c>
    </row>
    <row r="7" customFormat="false" ht="15" hidden="false" customHeight="false" outlineLevel="0" collapsed="false">
      <c r="A7" s="6" t="s">
        <v>60</v>
      </c>
      <c r="B7" s="7"/>
      <c r="C7" s="7"/>
      <c r="D7" s="7" t="n">
        <v>121721</v>
      </c>
      <c r="E7" s="7" t="n">
        <v>127678</v>
      </c>
      <c r="F7" s="8" t="s">
        <v>61</v>
      </c>
    </row>
    <row r="8" customFormat="false" ht="15" hidden="false" customHeight="false" outlineLevel="0" collapsed="false">
      <c r="A8" s="6" t="s">
        <v>62</v>
      </c>
      <c r="B8" s="7"/>
      <c r="C8" s="7"/>
      <c r="D8" s="7" t="n">
        <v>59072</v>
      </c>
      <c r="E8" s="7"/>
      <c r="F8" s="8"/>
    </row>
    <row r="9" customFormat="false" ht="15" hidden="false" customHeight="false" outlineLevel="0" collapsed="false">
      <c r="A9" s="6" t="s">
        <v>63</v>
      </c>
      <c r="B9" s="7"/>
      <c r="C9" s="7"/>
      <c r="D9" s="7" t="n">
        <v>62649</v>
      </c>
      <c r="E9" s="7"/>
      <c r="F9" s="8"/>
    </row>
    <row r="10" customFormat="false" ht="15" hidden="false" customHeight="false" outlineLevel="0" collapsed="false">
      <c r="A10" s="6" t="s">
        <v>64</v>
      </c>
      <c r="B10" s="7"/>
      <c r="C10" s="7"/>
      <c r="D10" s="7"/>
      <c r="E10" s="7" t="n">
        <v>61651</v>
      </c>
      <c r="F10" s="8"/>
    </row>
    <row r="11" customFormat="false" ht="15" hidden="false" customHeight="false" outlineLevel="0" collapsed="false">
      <c r="A11" s="6" t="s">
        <v>65</v>
      </c>
      <c r="B11" s="7"/>
      <c r="C11" s="7"/>
      <c r="D11" s="7" t="n">
        <v>7588</v>
      </c>
      <c r="E11" s="7"/>
      <c r="F11" s="8"/>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1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3" topLeftCell="B4" activePane="bottomRight" state="frozen"/>
      <selection pane="topLeft" activeCell="A1" activeCellId="0" sqref="A1"/>
      <selection pane="topRight" activeCell="B1" activeCellId="0" sqref="B1"/>
      <selection pane="bottomLeft" activeCell="A4" activeCellId="0" sqref="A4"/>
      <selection pane="bottomRight" activeCell="A1" activeCellId="0" sqref="A1"/>
    </sheetView>
  </sheetViews>
  <sheetFormatPr defaultColWidth="8.6796875" defaultRowHeight="15" zeroHeight="false" outlineLevelRow="0" outlineLevelCol="0"/>
  <cols>
    <col collapsed="false" customWidth="true" hidden="false" outlineLevel="0" max="1" min="1" style="0" width="40"/>
    <col collapsed="false" customWidth="true" hidden="false" outlineLevel="0" max="3" min="2" style="0" width="16"/>
    <col collapsed="false" customWidth="true" hidden="false" outlineLevel="0" max="4" min="4" style="0" width="20"/>
  </cols>
  <sheetData>
    <row r="1" customFormat="false" ht="17.35" hidden="false" customHeight="false" outlineLevel="0" collapsed="false">
      <c r="A1" s="1" t="s">
        <v>66</v>
      </c>
    </row>
    <row r="3" customFormat="false" ht="26.85" hidden="false" customHeight="false" outlineLevel="0" collapsed="false">
      <c r="A3" s="5" t="s">
        <v>67</v>
      </c>
      <c r="B3" s="5" t="s">
        <v>19</v>
      </c>
      <c r="C3" s="5" t="s">
        <v>21</v>
      </c>
      <c r="D3" s="5" t="s">
        <v>68</v>
      </c>
    </row>
    <row r="4" customFormat="false" ht="15" hidden="false" customHeight="false" outlineLevel="0" collapsed="false">
      <c r="A4" s="6" t="s">
        <v>69</v>
      </c>
      <c r="B4" s="7" t="n">
        <v>46789</v>
      </c>
      <c r="C4" s="7" t="n">
        <v>59017</v>
      </c>
      <c r="D4" s="9" t="n">
        <f aca="false">(C4-B4)/B4</f>
        <v>0.261343478167945</v>
      </c>
    </row>
    <row r="5" customFormat="false" ht="15" hidden="false" customHeight="false" outlineLevel="0" collapsed="false">
      <c r="A5" s="6" t="s">
        <v>70</v>
      </c>
      <c r="B5" s="7" t="n">
        <v>25843</v>
      </c>
      <c r="C5" s="7" t="n">
        <v>27748</v>
      </c>
      <c r="D5" s="9" t="n">
        <f aca="false">(C5-B5)/B5</f>
        <v>0.0737143520489107</v>
      </c>
    </row>
    <row r="6" customFormat="false" ht="15" hidden="false" customHeight="false" outlineLevel="0" collapsed="false">
      <c r="A6" s="6" t="s">
        <v>71</v>
      </c>
      <c r="B6" s="7" t="n">
        <v>15275</v>
      </c>
      <c r="C6" s="7" t="n">
        <v>15938</v>
      </c>
      <c r="D6" s="9" t="n">
        <f aca="false">(C6-B6)/B6</f>
        <v>0.0434042553191489</v>
      </c>
    </row>
    <row r="7" customFormat="false" ht="15" hidden="false" customHeight="false" outlineLevel="0" collapsed="false">
      <c r="A7" s="6" t="s">
        <v>72</v>
      </c>
      <c r="B7" s="7" t="n">
        <v>11611</v>
      </c>
      <c r="C7" s="7" t="n">
        <v>12552</v>
      </c>
      <c r="D7" s="9" t="n">
        <f aca="false">(C7-B7)/B7</f>
        <v>0.0810438377400741</v>
      </c>
    </row>
    <row r="8" customFormat="false" ht="15" hidden="false" customHeight="false" outlineLevel="0" collapsed="false">
      <c r="A8" s="6" t="s">
        <v>73</v>
      </c>
      <c r="B8" s="7" t="n">
        <v>11966</v>
      </c>
      <c r="C8" s="7" t="n">
        <v>12154</v>
      </c>
      <c r="D8" s="9" t="n">
        <f aca="false">(C8-B8)/B8</f>
        <v>0.0157111816814307</v>
      </c>
    </row>
    <row r="9" customFormat="false" ht="15" hidden="false" customHeight="false" outlineLevel="0" collapsed="false">
      <c r="A9" s="6" t="s">
        <v>74</v>
      </c>
      <c r="B9" s="7" t="n">
        <v>10064</v>
      </c>
      <c r="C9" s="7" t="n">
        <v>10850</v>
      </c>
      <c r="D9" s="9" t="n">
        <f aca="false">(C9-B9)/B9</f>
        <v>0.0781001589825119</v>
      </c>
    </row>
    <row r="10" customFormat="false" ht="15" hidden="false" customHeight="false" outlineLevel="0" collapsed="false">
      <c r="A10" s="6" t="s">
        <v>75</v>
      </c>
      <c r="B10" s="7" t="n">
        <v>6286</v>
      </c>
      <c r="C10" s="7" t="n">
        <v>8566</v>
      </c>
      <c r="D10" s="9" t="n">
        <f aca="false">(C10-B10)/B10</f>
        <v>0.362710785873369</v>
      </c>
    </row>
    <row r="11" customFormat="false" ht="15" hidden="false" customHeight="false" outlineLevel="0" collapsed="false">
      <c r="A11" s="6" t="s">
        <v>76</v>
      </c>
      <c r="B11" s="7" t="n">
        <v>4548</v>
      </c>
      <c r="C11" s="7" t="n">
        <v>4361</v>
      </c>
      <c r="D11" s="9" t="n">
        <f aca="false">(C11-B11)/B11</f>
        <v>-0.0411169744942832</v>
      </c>
    </row>
    <row r="12" customFormat="false" ht="15" hidden="false" customHeight="false" outlineLevel="0" collapsed="false">
      <c r="A12" s="6" t="s">
        <v>77</v>
      </c>
      <c r="B12" s="7" t="n">
        <v>3545</v>
      </c>
      <c r="C12" s="7" t="n">
        <v>3552</v>
      </c>
      <c r="D12" s="9" t="n">
        <f aca="false">(C12-B12)/B12</f>
        <v>0.00197461212976023</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1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3" topLeftCell="B4" activePane="bottomRight" state="frozen"/>
      <selection pane="topLeft" activeCell="A1" activeCellId="0" sqref="A1"/>
      <selection pane="topRight" activeCell="B1" activeCellId="0" sqref="B1"/>
      <selection pane="bottomLeft" activeCell="A4" activeCellId="0" sqref="A4"/>
      <selection pane="bottomRight" activeCell="A1" activeCellId="0" sqref="A1"/>
    </sheetView>
  </sheetViews>
  <sheetFormatPr defaultColWidth="8.6796875" defaultRowHeight="15" zeroHeight="false" outlineLevelRow="0" outlineLevelCol="0"/>
  <cols>
    <col collapsed="false" customWidth="true" hidden="false" outlineLevel="0" max="1" min="1" style="0" width="40"/>
    <col collapsed="false" customWidth="true" hidden="false" outlineLevel="0" max="4" min="2" style="0" width="16"/>
    <col collapsed="false" customWidth="true" hidden="false" outlineLevel="0" max="5" min="5" style="0" width="45"/>
  </cols>
  <sheetData>
    <row r="1" customFormat="false" ht="17.35" hidden="false" customHeight="false" outlineLevel="0" collapsed="false">
      <c r="A1" s="1" t="s">
        <v>78</v>
      </c>
    </row>
    <row r="3" customFormat="false" ht="15" hidden="false" customHeight="false" outlineLevel="0" collapsed="false">
      <c r="A3" s="5" t="s">
        <v>26</v>
      </c>
      <c r="B3" s="5" t="s">
        <v>19</v>
      </c>
      <c r="C3" s="5" t="s">
        <v>21</v>
      </c>
      <c r="D3" s="5" t="s">
        <v>23</v>
      </c>
      <c r="E3" s="5" t="s">
        <v>54</v>
      </c>
    </row>
    <row r="4" customFormat="false" ht="19.4" hidden="false" customHeight="false" outlineLevel="0" collapsed="false">
      <c r="A4" s="6" t="s">
        <v>79</v>
      </c>
      <c r="B4" s="10" t="n">
        <v>1984</v>
      </c>
      <c r="C4" s="10"/>
      <c r="D4" s="10" t="n">
        <v>2778</v>
      </c>
      <c r="E4" s="8" t="s">
        <v>80</v>
      </c>
    </row>
    <row r="5" customFormat="false" ht="15" hidden="false" customHeight="false" outlineLevel="0" collapsed="false">
      <c r="A5" s="6" t="s">
        <v>81</v>
      </c>
      <c r="B5" s="10" t="n">
        <v>1253</v>
      </c>
      <c r="C5" s="10" t="n">
        <v>1621</v>
      </c>
      <c r="D5" s="10" t="n">
        <v>947</v>
      </c>
      <c r="E5" s="8" t="s">
        <v>82</v>
      </c>
    </row>
    <row r="6" customFormat="false" ht="15" hidden="false" customHeight="false" outlineLevel="0" collapsed="false">
      <c r="A6" s="6" t="s">
        <v>83</v>
      </c>
      <c r="B6" s="10" t="n">
        <v>7082</v>
      </c>
      <c r="C6" s="10" t="n">
        <v>7850</v>
      </c>
      <c r="D6" s="10" t="n">
        <v>6585</v>
      </c>
      <c r="E6" s="8"/>
    </row>
    <row r="7" customFormat="false" ht="15" hidden="false" customHeight="false" outlineLevel="0" collapsed="false">
      <c r="A7" s="6" t="s">
        <v>84</v>
      </c>
      <c r="B7" s="10"/>
      <c r="C7" s="10"/>
      <c r="D7" s="10" t="n">
        <v>2455</v>
      </c>
      <c r="E7" s="8"/>
    </row>
    <row r="8" customFormat="false" ht="15" hidden="false" customHeight="false" outlineLevel="0" collapsed="false">
      <c r="A8" s="6" t="s">
        <v>85</v>
      </c>
      <c r="B8" s="10"/>
      <c r="C8" s="10"/>
      <c r="D8" s="10" t="n">
        <v>1294</v>
      </c>
      <c r="E8" s="8" t="s">
        <v>86</v>
      </c>
    </row>
    <row r="9" customFormat="false" ht="15" hidden="false" customHeight="false" outlineLevel="0" collapsed="false">
      <c r="A9" s="6" t="s">
        <v>49</v>
      </c>
      <c r="B9" s="10" t="n">
        <v>766</v>
      </c>
      <c r="C9" s="10" t="n">
        <v>876</v>
      </c>
      <c r="D9" s="10" t="n">
        <v>887.3</v>
      </c>
      <c r="E9" s="8" t="s">
        <v>87</v>
      </c>
    </row>
    <row r="10" customFormat="false" ht="15" hidden="false" customHeight="false" outlineLevel="0" collapsed="false">
      <c r="A10" s="6" t="s">
        <v>50</v>
      </c>
      <c r="B10" s="10" t="n">
        <v>767</v>
      </c>
      <c r="C10" s="10" t="n">
        <v>898</v>
      </c>
      <c r="D10" s="10"/>
      <c r="E10" s="8"/>
    </row>
    <row r="11" customFormat="false" ht="19.4" hidden="false" customHeight="false" outlineLevel="0" collapsed="false">
      <c r="A11" s="6" t="s">
        <v>88</v>
      </c>
      <c r="B11" s="10" t="n">
        <v>1.099</v>
      </c>
      <c r="C11" s="10" t="n">
        <v>22.879</v>
      </c>
      <c r="D11" s="10"/>
      <c r="E11" s="8" t="s">
        <v>89</v>
      </c>
    </row>
    <row r="12" customFormat="false" ht="28.35" hidden="false" customHeight="false" outlineLevel="0" collapsed="false">
      <c r="A12" s="6" t="s">
        <v>90</v>
      </c>
      <c r="B12" s="10"/>
      <c r="C12" s="10"/>
      <c r="D12" s="10" t="n">
        <v>33.1</v>
      </c>
      <c r="E12" s="8" t="s">
        <v>91</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2026-08-19T00:56:34Z</dcterms:created>
  <dc:creator>openpyxl</dc:creator>
  <dc:description/>
  <dc:language>en-US</dc:language>
  <cp:lastModifiedBy/>
  <dcterms:modified xsi:type="dcterms:W3CDTF">2026-08-19T00:56:34Z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